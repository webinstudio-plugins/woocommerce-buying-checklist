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24772842e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share review" sheetId="1" r:id="R88caba7e14f9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($#,##0.00);$0.00"/>
    <x:numFmt numFmtId="201" formatCode="0"/>
    <x:numFmt numFmtId="202" formatCode="0.00%"/>
  </x:numFmts>
  <x:fonts count="7">
    <x:font>
      <x:sz val="11"/>
      <x:name val="Carlito"/>
    </x:font>
    <x:font>
      <x:sz val="11"/>
      <x:color rgb="FF222B3A"/>
      <x:name val="Arial"/>
    </x:font>
    <x:font>
      <x:b/>
      <x:sz val="16"/>
      <x:color rgb="FF23304A"/>
      <x:name val="Arial"/>
    </x:font>
    <x:font>
      <x:i/>
      <x:sz val="11"/>
      <x:color rgb="FF222B3A"/>
      <x:name val="Arial"/>
    </x:font>
    <x:font>
      <x:b/>
      <x:sz val="11"/>
      <x:color rgb="FF222B3A"/>
      <x:name val="Arial"/>
    </x:font>
    <x:font>
      <x:b/>
      <x:sz val="11"/>
      <x:color rgb="FFFFFFFF"/>
      <x:name val="Arial"/>
    </x:font>
    <x:font>
      <x:sz val="11"/>
      <x:color rgb="FF1753A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04A"/>
      </x:patternFill>
    </x:fill>
    <x:fill>
      <x:patternFill patternType="solid">
        <x:fgColor rgb="FFFFF0C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E45C41"/>
      </x:bottom>
      <x:diagonal/>
    </x:border>
    <x:border>
      <x:left/>
      <x:right/>
      <x:top style="thin">
        <x:color rgb="FF23304A"/>
      </x:top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4" fillId="0" borderId="2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right" vertical="center"/>
    </x:xf>
    <x:xf numFmtId="200" fontId="6" fillId="3" borderId="0" xfId="0" applyNumberFormat="1" applyFont="1" applyFill="1" applyBorder="1" applyAlignment="1">
      <x:alignment horizontal="right" vertical="center"/>
    </x:xf>
    <x:xf numFmtId="201" fontId="6" fillId="3" borderId="0" xfId="0" applyNumberFormat="1" applyFont="1" applyFill="1" applyBorder="1" applyAlignment="1">
      <x:alignment horizontal="right" vertical="center"/>
    </x:xf>
    <x:xf numFmtId="202" fontId="6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22116"/>
      </x:font>
      <x:fill>
        <x:patternFill patternType="solid">
          <x:bgColor rgb="FFFC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54ede1f374d8b" /><Relationship Type="http://schemas.openxmlformats.org/officeDocument/2006/relationships/theme" Target="/xl/theme/theme1.xml" Id="R56044b56bf294cc6" /><Relationship Type="http://schemas.openxmlformats.org/officeDocument/2006/relationships/sharedStrings" Target="/xl/sharedStrings.xml" Id="Rb344d3ceaf3b4950" /><Relationship Type="http://schemas.openxmlformats.org/officeDocument/2006/relationships/worksheet" Target="/xl/worksheets/sheet1.xml" Id="R88caba7e14f94e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04A"/>
  </x:sheetPr>
  <x:sheetViews>
    <x:sheetView showGridLines="0" workbookViewId="0"/>
  </x:sheetViews>
  <x:sheetFormatPr defaultRowHeight="15"/>
  <x:cols>
    <x:col min="1" max="1" width="37" hidden="0" customWidth="1"/>
    <x:col min="2" max="2" width="25" hidden="0" customWidth="1"/>
    <x:col min="3" max="3" width="3" hidden="0" customWidth="1"/>
    <x:col min="4" max="4" width="71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3" t="str">
        <x:v>Vendor share after a refund</x:v>
      </x:c>
      <x:c r="B2" s="2"/>
      <x:c r="C2" s="2"/>
      <x:c r="D2" s="2" t="str">
        <x:v>Webin Studio | Free review worksheet</x:v>
      </x:c>
    </x:row>
    <x:row r="3" ht="25" customHeight="1">
      <x:c r="A3" s="4"/>
      <x:c r="B3" s="4"/>
      <x:c r="C3" s="4"/>
      <x:c r="D3" s="4"/>
    </x:row>
    <x:row r="4" ht="25" customHeight="1">
      <x:c r="A4" s="5" t="str">
        <x:v>One order line. USD. Two decimal places.</x:v>
      </x:c>
      <x:c r="B4" s="2"/>
      <x:c r="C4" s="2"/>
      <x:c r="D4" s="2" t="str">
        <x:v>Example inputs are fictional. Replace the amber cells.</x:v>
      </x:c>
    </x:row>
    <x:row r="5" ht="25" customHeight="1">
      <x:c r="A5" s="2"/>
      <x:c r="B5" s="2"/>
      <x:c r="C5" s="2"/>
      <x:c r="D5" s="2"/>
    </x:row>
    <x:row r="6" ht="29" customHeight="1">
      <x:c r="A6" s="2" t="str">
        <x:v>Remaining line net (USD)</x:v>
      </x:c>
      <x:c r="B6" s="10" t="n">
        <x:f>IF(B19&lt;&gt;"Valid inputs","",(ROUND(B12*100,0)-ROUND(B13*100,0))/100)</x:f>
        <x:v>75</x:v>
      </x:c>
      <x:c r="C6" s="2"/>
      <x:c r="D6" s="2" t="str">
        <x:v>Uses the cumulative refunded line amount.</x:v>
      </x:c>
    </x:row>
    <x:row r="7" ht="29" customHeight="1">
      <x:c r="A7" s="2" t="str">
        <x:v>Original vendor share (USD)</x:v>
      </x:c>
      <x:c r="B7" s="10" t="n">
        <x:f>IF(B19&lt;&gt;"Valid inputs","",IF(B15="Percentage",ROUND(ROUND(B12*100,0)*ROUND(B16*10000,0)/10000,0)/100,MIN(ROUND(B12*100,0),ROUND(B17*100,0)*B14)/100))</x:f>
        <x:v>80</x:v>
      </x:c>
      <x:c r="C7" s="2"/>
      <x:c r="D7" s="2" t="str">
        <x:v>The rate is the vendor’s share, not the marketplace fee.</x:v>
      </x:c>
    </x:row>
    <x:row r="8" ht="29" customHeight="1">
      <x:c r="A8" s="2" t="str">
        <x:v>Share reversed by refunds (USD)</x:v>
      </x:c>
      <x:c r="B8" s="10" t="n">
        <x:f>IF(B19&lt;&gt;"Valid inputs","",ROUND((B7-B9)*100,0)/100)</x:f>
        <x:v>20</x:v>
      </x:c>
      <x:c r="C8" s="2"/>
      <x:c r="D8" s="2" t="str">
        <x:v>Original share less remaining share, rounded in cents.</x:v>
      </x:c>
    </x:row>
    <x:row r="9" ht="29" customHeight="1">
      <x:c r="A9" s="7" t="str">
        <x:v>Remaining earned share (USD)</x:v>
      </x:c>
      <x:c r="B9" s="11" t="n">
        <x:f>IF(B19&lt;&gt;"Valid inputs","",IF(B15="Percentage",ROUND(ROUND(B6*100,0)*ROUND(B16*10000,0)/10000,0)/100,IF(B12=0,0,ROUND(ROUND(B7*100,0)*ROUND(B6*100,0)/ROUND(B12*100,0),0)/100)))</x:f>
        <x:v>60</x:v>
      </x:c>
      <x:c r="C9" s="2"/>
      <x:c r="D9" s="2" t="str">
        <x:v>This is earned share. It does not confirm money was sent.</x:v>
      </x:c>
    </x:row>
    <x:row r="10" ht="25" customHeight="1">
      <x:c r="A10" s="2"/>
      <x:c r="B10" s="2"/>
      <x:c r="C10" s="2"/>
      <x:c r="D10" s="2"/>
    </x:row>
    <x:row r="11" ht="25" customHeight="1">
      <x:c r="A11" s="14" t="str">
        <x:v>Edit the inputs</x:v>
      </x:c>
      <x:c r="B11" s="14" t="str">
        <x:v>Value</x:v>
      </x:c>
      <x:c r="C11" s="2"/>
      <x:c r="D11" s="2"/>
    </x:row>
    <x:row r="12" ht="25" customHeight="1">
      <x:c r="A12" s="2" t="str">
        <x:v>Discounted line net (USD)</x:v>
      </x:c>
      <x:c r="B12" s="18" t="n">
        <x:v>100</x:v>
      </x:c>
      <x:c r="C12" s="2"/>
      <x:c r="D12" s="2" t="str">
        <x:v>After discounts. Exclude tax, shipping and payment fees.</x:v>
      </x:c>
    </x:row>
    <x:row r="13" ht="25" customHeight="1">
      <x:c r="A13" s="2" t="str">
        <x:v>Cumulative refunded net (USD)</x:v>
      </x:c>
      <x:c r="B13" s="18" t="n">
        <x:v>25</x:v>
      </x:c>
      <x:c r="C13" s="2"/>
      <x:c r="D13" s="2" t="str">
        <x:v>Use total net refunds to date, not only the latest refund.</x:v>
      </x:c>
    </x:row>
    <x:row r="14" ht="25" customHeight="1">
      <x:c r="A14" s="2" t="str">
        <x:v>Original quantity</x:v>
      </x:c>
      <x:c r="B14" s="19" t="n">
        <x:v>2</x:v>
      </x:c>
      <x:c r="C14" s="2"/>
      <x:c r="D14" s="2" t="str">
        <x:v>Use the original order-line quantity, before returns.</x:v>
      </x:c>
    </x:row>
    <x:row r="15" ht="25" customHeight="1">
      <x:c r="A15" s="2" t="str">
        <x:v>Rule type</x:v>
      </x:c>
      <x:c r="B15" s="16" t="str">
        <x:v>Percentage</x:v>
      </x:c>
      <x:c r="C15" s="2"/>
      <x:c r="D15" s="2" t="str">
        <x:v>Choose the rule recorded for this original order line.</x:v>
      </x:c>
    </x:row>
    <x:row r="16" ht="25" customHeight="1">
      <x:c r="A16" s="2" t="str">
        <x:v>Vendor share rate</x:v>
      </x:c>
      <x:c r="B16" s="20" t="n">
        <x:v>0.8</x:v>
      </x:c>
      <x:c r="C16" s="2"/>
      <x:c r="D16" s="2" t="str">
        <x:v>Percentage rule only. Enter 80% for an 80% vendor share.</x:v>
      </x:c>
    </x:row>
    <x:row r="17" ht="25" customHeight="1">
      <x:c r="A17" s="2" t="str">
        <x:v>Fixed share per unit (USD)</x:v>
      </x:c>
      <x:c r="B17" s="18" t="n">
        <x:v>10</x:v>
      </x:c>
      <x:c r="C17" s="2"/>
      <x:c r="D17" s="2" t="str">
        <x:v>Fixed rule only. The original share is capped at line net.</x:v>
      </x:c>
    </x:row>
    <x:row r="18" ht="25" customHeight="1">
      <x:c r="A18" s="2"/>
      <x:c r="B18" s="2"/>
      <x:c r="C18" s="2"/>
      <x:c r="D18" s="2"/>
    </x:row>
    <x:row r="19" ht="43" customHeight="1">
      <x:c r="A19" s="2" t="str">
        <x:v>Input validation</x:v>
      </x:c>
      <x:c r="B19" s="21" t="str">
        <x:f>IF(COUNT(B12:B14)&lt;&gt;3,"Enter net, refund and quantity",IF(OR(B12&lt;0,B12&gt;1000000,B13&lt;0,B13&gt;B12,B14&lt;1,B14&gt;10000,B14&lt;&gt;ROUND(B14,0)),"Check amounts or quantity",IF(NOT(AND(ABS(B12*100-ROUND(B12*100,0))&lt;0.000001,ABS(B13*100-ROUND(B13*100,0))&lt;0.000001)),"Use whole cents",IF(B15="Percentage",IF(NOT(ISNUMBER(B16)),"Enter vendor share rate",IF(OR(B16&lt;0,B16&gt;1,ABS(B16*10000-ROUND(B16*10000,0))&gt;=0.000001),"Rate: 0% to 100%, 0.01% steps","Valid inputs")),IF(B15="Fixed per unit",IF(NOT(ISNUMBER(B17)),"Enter fixed share per unit",IF(OR(B17&lt;0,B17&gt;1000000,NOT(ABS(B17*100-ROUND(B17*100,0))&lt;0.000001)),"Fixed share: nonnegative whole cents","Valid inputs")),"Choose a rule type")))))</x:f>
        <x:v>Valid inputs</x:v>
      </x:c>
      <x:c r="C19" s="2"/>
      <x:c r="D19" s="2" t="str">
        <x:v>Maximums: line net USD1,000,000; quantity 10,000.</x:v>
      </x:c>
    </x:row>
    <x:row r="20" ht="25" customHeight="1">
      <x:c r="A20" s="2"/>
      <x:c r="B20" s="2"/>
      <x:c r="C20" s="2"/>
      <x:c r="D20" s="2"/>
    </x:row>
    <x:row r="21" ht="25" customHeight="1">
      <x:c r="A21" s="2"/>
      <x:c r="B21" s="2"/>
      <x:c r="C21" s="2"/>
      <x:c r="D21" s="2"/>
    </x:row>
    <x:row r="22" ht="25" customHeight="1">
      <x:c r="A22" s="22" t="str">
        <x:v>Before using the result</x:v>
      </x:c>
      <x:c r="B22" s="2"/>
      <x:c r="C22" s="2"/>
      <x:c r="D22" s="2"/>
    </x:row>
    <x:row r="23" ht="28" customHeight="1">
      <x:c r="A23" s="2" t="str">
        <x:v>Review one order line at a time. Fixed shares reverse in proportion to cumulative net refunds.</x:v>
      </x:c>
      <x:c r="B23" s="2"/>
      <x:c r="C23" s="2"/>
      <x:c r="D23" s="2"/>
    </x:row>
    <x:row r="24" ht="28" customHeight="1">
      <x:c r="A24" s="2" t="str">
        <x:v>Tax allocation, shipping shares, prior payouts, payment fees and currency conversion are excluded.</x:v>
      </x:c>
      <x:c r="B24" s="2"/>
      <x:c r="C24" s="2"/>
      <x:c r="D24" s="2"/>
    </x:row>
    <x:row r="25" ht="28" customHeight="1">
      <x:c r="A25" s="2" t="str">
        <x:v>Use your order’s frozen rule. This worksheet does not import a store or reproduce its full ledger.</x:v>
      </x:c>
      <x:c r="B25" s="2"/>
      <x:c r="C25" s="2"/>
      <x:c r="D25" s="2"/>
    </x:row>
    <x:row r="26" ht="28" customHeight="1">
      <x:c r="A26" s="2" t="str">
        <x:v>Keep the file local. Remove private order/customer data before sharing any example publicly.</x:v>
      </x:c>
      <x:c r="B26" s="2"/>
      <x:c r="C26" s="2"/>
      <x:c r="D26" s="2"/>
    </x:row>
    <x:row r="27" ht="25" customHeight="1">
      <x:c r="A27" s="2"/>
      <x:c r="B27" s="2"/>
      <x:c r="C27" s="2"/>
      <x:c r="D27" s="2"/>
    </x:row>
    <x:row r="28" ht="25" customHeight="1">
      <x:c r="A28" s="2" t="str">
        <x:v>Webin Studio develops and sells Webin Vendor Workspace. Prepared with AI assistance.</x:v>
      </x:c>
      <x:c r="B28" s="2"/>
      <x:c r="C28" s="2"/>
      <x:c r="D28" s="2"/>
    </x:row>
    <x:row r="29" ht="25" customHeight="1">
      <x:c r="A29" s="2" t="str">
        <x:v>Purchase-planning guide: https://github.com/webinstudio-plugins/woocommerce-buying-checklist</x:v>
      </x:c>
      <x:c r="B29" s="2"/>
      <x:c r="C29" s="2"/>
      <x:c r="D29" s="2"/>
    </x:row>
    <x:row r="30" ht="25" customHeight="1">
      <x:c r="A30" s="2" t="str">
        <x:v>Product terms and price: https://8819526221141.gumroad.com/l/cyqqdh</x:v>
      </x:c>
      <x:c r="B30" s="2"/>
      <x:c r="C30" s="2"/>
      <x:c r="D30" s="2"/>
    </x:row>
    <x:row r="31" ht="25" customHeight="1">
      <x:c r="A31" s="2"/>
      <x:c r="B31" s="2"/>
      <x:c r="C31" s="2"/>
      <x:c r="D31" s="2"/>
    </x:row>
    <x:row r="32" ht="25" customHeight="1">
      <x:c r="A32" s="2" t="str">
        <x:v>Method checked on October 9, 2026 against Webin Vendor Workspace’s net-share rules.</x:v>
      </x:c>
      <x:c r="B32" s="2"/>
      <x:c r="C32" s="2"/>
      <x:c r="D32" s="2"/>
    </x:row>
    <x:row r="33" ht="25" customHeight="1">
      <x:c r="A33" s="2" t="str">
        <x:v>The USD100 line, USD25 cumulative refund and 80% vendor share give USD60 remaining share.</x:v>
      </x:c>
      <x:c r="B33" s="2"/>
      <x:c r="C33" s="2"/>
      <x:c r="D33" s="2"/>
    </x:row>
  </x:sheetData>
  <x:conditionalFormatting sqref="B19:B19">
    <x:cfRule type="cellIs" dxfId="0" priority="1" operator="notEqual">
      <x:formula>"Valid inputs"</x:formula>
    </x:cfRule>
  </x:conditionalFormatting>
  <x:dataValidations count="1">
    <x:dataValidation type="list" sqref="B15">
      <x:formula1>"Percentage,Fixed per unit"</x:formula1>
    </x:dataValidation>
  </x:dataValidations>
  <x:pageMargins left="0.7" right="0.7" top="0.75" bottom="0.75" header="0.3" footer="0.3"/>
</x:worksheet>
</file>